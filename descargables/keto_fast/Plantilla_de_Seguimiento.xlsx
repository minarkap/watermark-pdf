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orías " sheetId="1" r:id="rId4"/>
    <sheet state="visible" name="Peso y medidas" sheetId="2" r:id="rId5"/>
  </sheets>
  <definedNames/>
  <calcPr/>
</workbook>
</file>

<file path=xl/sharedStrings.xml><?xml version="1.0" encoding="utf-8"?>
<sst xmlns="http://schemas.openxmlformats.org/spreadsheetml/2006/main" count="109" uniqueCount="68">
  <si>
    <t>KETO PURA</t>
  </si>
  <si>
    <t>_</t>
  </si>
  <si>
    <t>Carbohidratos</t>
  </si>
  <si>
    <t>Proteína</t>
  </si>
  <si>
    <t>Grasas</t>
  </si>
  <si>
    <t>kcal/día</t>
  </si>
  <si>
    <t>TUS DATOS</t>
  </si>
  <si>
    <t>CALORÍAS DE MANTENIMIENTO</t>
  </si>
  <si>
    <t>% de calorías</t>
  </si>
  <si>
    <t>5-10</t>
  </si>
  <si>
    <t>20-30</t>
  </si>
  <si>
    <t>65-70</t>
  </si>
  <si>
    <t>Edad</t>
  </si>
  <si>
    <t>g/kg</t>
  </si>
  <si>
    <t>0,2-0,5</t>
  </si>
  <si>
    <t>1,5-2,5</t>
  </si>
  <si>
    <t>2,0-2,5</t>
  </si>
  <si>
    <t>Altura</t>
  </si>
  <si>
    <t>PÉRDIDA DE PESO</t>
  </si>
  <si>
    <t>g/día mín</t>
  </si>
  <si>
    <t>Peso</t>
  </si>
  <si>
    <t>CALORÍAS (CON DÉFICIT)</t>
  </si>
  <si>
    <t>g/día máx</t>
  </si>
  <si>
    <t>Sexo</t>
  </si>
  <si>
    <t>Mujer</t>
  </si>
  <si>
    <t>fuentes</t>
  </si>
  <si>
    <t>Verduras y frutras bajas en glucosa y fructosa</t>
  </si>
  <si>
    <t>Huevos, carnes, pescados, suplementación</t>
  </si>
  <si>
    <t>Ricas en omega3, monoinsaturadas y saturadas</t>
  </si>
  <si>
    <t>Actividad física</t>
  </si>
  <si>
    <t>Alta (6-7 días/semana)</t>
  </si>
  <si>
    <t>GANANCIA DE MÚSCULO</t>
  </si>
  <si>
    <t>CALORÍAS (CON SUPERÁVIT)</t>
  </si>
  <si>
    <t>KETO-CUT</t>
  </si>
  <si>
    <t>0,2-0,3</t>
  </si>
  <si>
    <t>2,5-3,0</t>
  </si>
  <si>
    <t>1,5</t>
  </si>
  <si>
    <t>LOW CARB A LA PHIL HUGO</t>
  </si>
  <si>
    <t>20-25</t>
  </si>
  <si>
    <t>25-35</t>
  </si>
  <si>
    <t>40-45</t>
  </si>
  <si>
    <t>1,5-2,0</t>
  </si>
  <si>
    <t>1,0-1,5</t>
  </si>
  <si>
    <t>Verduras, almidones, frutras</t>
  </si>
  <si>
    <t>Elegir el día de la semana para pesarse y medirse</t>
  </si>
  <si>
    <t>Día</t>
  </si>
  <si>
    <t>Peso total</t>
  </si>
  <si>
    <t>Porcentaje grasa</t>
  </si>
  <si>
    <t>Porcentaje músculo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</si>
  <si>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</si>
  <si>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</si>
  <si>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</si>
  <si>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</si>
  <si>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</si>
  <si>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</si>
  <si>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</si>
  <si>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</si>
  <si>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</si>
  <si>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</si>
  <si>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Medidas</t>
  </si>
  <si>
    <t>Pecho</t>
  </si>
  <si>
    <t>Cintura</t>
  </si>
  <si>
    <t>Cadera</t>
  </si>
  <si>
    <t>Brazos</t>
  </si>
  <si>
    <t>Muslos</t>
  </si>
  <si>
    <t>izq</t>
  </si>
  <si>
    <t>dcho</t>
  </si>
  <si>
    <t>izq.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</si>
</sst>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0.0"/>
      <color rgb="FF000000"/>
      <name val="Roboto"/>
    </font>
    <font>
      <color theme="1"/>
      <name val="Roboto"/>
    </font>
    <font>
      <b/>
      <sz val="10.0"/>
      <color theme="1"/>
      <name val="Roboto"/>
    </font>
    <font>
      <b/>
      <sz val="12.0"/>
      <color rgb="FFE84E1B"/>
      <name val="Roboto"/>
    </font>
    <font>
      <sz val="10.0"/>
      <color theme="1"/>
      <name val="Roboto"/>
    </font>
    <font>
      <b/>
      <sz val="10.0"/>
      <color rgb="FFFFFFFF"/>
      <name val="Roboto"/>
    </font>
    <font>
      <b/>
      <sz val="14.0"/>
      <color theme="1"/>
      <name val="Roboto"/>
    </font>
    <font>
      <b/>
      <sz val="11.0"/>
      <color rgb="FF000000"/>
      <name val="Roboto"/>
    </font>
    <font>
      <b/>
      <sz val="12.0"/>
      <color theme="1"/>
      <name val="Roboto"/>
    </font>
    <font>
      <color theme="1"/>
      <name val="Arial"/>
      <scheme val="minor"/>
    </font>
    <font>
      <sz val="10.0"/>
      <color rgb="FFFF0000"/>
      <name val="Arial"/>
    </font>
    <font>
      <b/>
      <sz val="10.0"/>
      <color rgb="FF000000"/>
      <name val="Arial"/>
    </font>
    <font/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4E1B"/>
        <bgColor rgb="FFE84E1B"/>
      </patternFill>
    </fill>
    <fill>
      <patternFill patternType="solid">
        <fgColor rgb="FFFFDA73"/>
        <bgColor rgb="FFFFDA7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3" fontId="6" numFmtId="0" xfId="0" applyAlignment="1" applyFill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3" fillId="4" fontId="7" numFmtId="1" xfId="0" applyAlignment="1" applyBorder="1" applyFont="1" applyNumberFormat="1">
      <alignment shrinkToFit="0" vertical="center" wrapText="1"/>
    </xf>
    <xf borderId="0" fillId="5" fontId="1" numFmtId="0" xfId="0" applyAlignment="1" applyFill="1" applyFont="1">
      <alignment shrinkToFit="0" vertical="center" wrapText="1"/>
    </xf>
    <xf borderId="0" fillId="5" fontId="1" numFmtId="49" xfId="0" applyAlignment="1" applyFont="1" applyNumberFormat="1">
      <alignment shrinkToFit="0" vertical="center" wrapText="1"/>
    </xf>
    <xf borderId="2" fillId="0" fontId="3" numFmtId="1" xfId="0" applyAlignment="1" applyBorder="1" applyFont="1" applyNumberFormat="1">
      <alignment horizontal="center" shrinkToFit="0" vertical="center" wrapText="1"/>
    </xf>
    <xf borderId="2" fillId="4" fontId="8" numFmtId="1" xfId="0" applyAlignment="1" applyBorder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shrinkToFit="0" vertical="center" wrapText="1"/>
    </xf>
    <xf borderId="0" fillId="6" fontId="1" numFmtId="0" xfId="0" applyAlignment="1" applyFill="1" applyFont="1">
      <alignment shrinkToFit="0" vertical="center" wrapText="1"/>
    </xf>
    <xf borderId="0" fillId="6" fontId="1" numFmtId="49" xfId="0" applyAlignment="1" applyFont="1" applyNumberFormat="1">
      <alignment shrinkToFit="0" vertical="center" wrapText="1"/>
    </xf>
    <xf borderId="2" fillId="4" fontId="8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3" fillId="6" fontId="9" numFmtId="1" xfId="0" applyAlignment="1" applyBorder="1" applyFont="1" applyNumberForma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4" fillId="4" fontId="12" numFmtId="0" xfId="0" applyAlignment="1" applyBorder="1" applyFont="1">
      <alignment horizontal="center" vertical="center"/>
    </xf>
    <xf borderId="5" fillId="0" fontId="13" numFmtId="0" xfId="0" applyBorder="1" applyFont="1"/>
    <xf borderId="6" fillId="0" fontId="13" numFmtId="0" xfId="0" applyBorder="1" applyFont="1"/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3" fillId="7" fontId="16" numFmtId="0" xfId="0" applyAlignment="1" applyBorder="1" applyFill="1" applyFont="1">
      <alignment vertical="center"/>
    </xf>
    <xf borderId="3" fillId="7" fontId="17" numFmtId="0" xfId="0" applyAlignment="1" applyBorder="1" applyFont="1">
      <alignment horizontal="center" vertical="center"/>
    </xf>
    <xf borderId="4" fillId="7" fontId="17" numFmtId="0" xfId="0" applyAlignment="1" applyBorder="1" applyFont="1">
      <alignment horizontal="center" vertical="center"/>
    </xf>
    <xf borderId="0" fillId="0" fontId="16" numFmtId="2" xfId="0" applyAlignment="1" applyFont="1" applyNumberFormat="1">
      <alignment vertical="center"/>
    </xf>
    <xf borderId="3" fillId="8" fontId="16" numFmtId="0" xfId="0" applyAlignment="1" applyBorder="1" applyFill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D9D6"/>
          <bgColor rgb="FFFAD9D6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3">
    <tableStyle count="3" pivot="0" name="Calorías -style">
      <tableStyleElement dxfId="1" type="headerRow"/>
      <tableStyleElement dxfId="2" type="firstRowStripe"/>
      <tableStyleElement dxfId="3" type="secondRowStripe"/>
    </tableStyle>
    <tableStyle count="3" pivot="0" name="Calorías -style 2">
      <tableStyleElement dxfId="1" type="headerRow"/>
      <tableStyleElement dxfId="2" type="firstRowStripe"/>
      <tableStyleElement dxfId="3" type="secondRowStripe"/>
    </tableStyle>
    <tableStyle count="3" pivot="0" name="Calorías 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2</xdr:row>
      <xdr:rowOff>266700</xdr:rowOff>
    </xdr:from>
    <xdr:ext cx="1609725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3</xdr:row>
      <xdr:rowOff>95250</xdr:rowOff>
    </xdr:from>
    <xdr:ext cx="4667250" cy="4219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K8:O13" displayName="Table_1" name="Table_1" id="1">
  <tableColumns count="5">
    <tableColumn name="_" id="1"/>
    <tableColumn name="Carbohidratos" id="2"/>
    <tableColumn name="Proteína" id="3"/>
    <tableColumn name="Grasas" id="4"/>
    <tableColumn name="kcal/día" id="5"/>
  </tableColumns>
  <tableStyleInfo name="Calorías -style" showColumnStripes="0" showFirstColumn="1" showLastColumn="1" showRowStripes="1"/>
</table>
</file>

<file path=xl/tables/table2.xml><?xml version="1.0" encoding="utf-8"?>
<table xmlns="http://schemas.openxmlformats.org/spreadsheetml/2006/main" ref="K19:O24" displayName="Table_2" name="Table_2" id="2">
  <tableColumns count="5">
    <tableColumn name="_" id="1"/>
    <tableColumn name="Carbohidratos" id="2"/>
    <tableColumn name="Proteína" id="3"/>
    <tableColumn name="Grasas" id="4"/>
    <tableColumn name="kcal/día" id="5"/>
  </tableColumns>
  <tableStyleInfo name="Calorías -style 2" showColumnStripes="0" showFirstColumn="1" showLastColumn="1" showRowStripes="1"/>
</table>
</file>

<file path=xl/tables/table3.xml><?xml version="1.0" encoding="utf-8"?>
<table xmlns="http://schemas.openxmlformats.org/spreadsheetml/2006/main" ref="K30:O35" displayName="Table_3" name="Table_3" id="3">
  <tableColumns count="5">
    <tableColumn name="_" id="1"/>
    <tableColumn name="Carbohidratos" id="2"/>
    <tableColumn name="Proteína" id="3"/>
    <tableColumn name="Grasas" id="4"/>
    <tableColumn name="kcal/día" id="5"/>
  </tableColumns>
  <tableStyleInfo name="Calorías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8.38"/>
    <col customWidth="1" min="3" max="3" width="37.38"/>
    <col customWidth="1" min="4" max="4" width="7.25"/>
    <col customWidth="1" min="5" max="5" width="30.0"/>
    <col customWidth="1" min="6" max="6" width="12.38"/>
    <col customWidth="1" min="7" max="7" width="9.0"/>
    <col customWidth="1" min="8" max="8" width="8.88"/>
    <col customWidth="1" min="9" max="9" width="0.38"/>
    <col customWidth="1" min="10" max="26" width="14.3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3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0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5" customHeight="1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/>
      <c r="B6" s="3"/>
      <c r="F6" s="1"/>
      <c r="G6" s="1"/>
      <c r="H6" s="2"/>
      <c r="I6" s="2"/>
      <c r="J6" s="2"/>
      <c r="K6" s="4" t="s">
        <v>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1"/>
      <c r="F7" s="1"/>
      <c r="G7" s="1"/>
      <c r="H7" s="2"/>
      <c r="I7" s="2"/>
      <c r="J7" s="2"/>
      <c r="K7" s="1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1"/>
      <c r="D8" s="1"/>
      <c r="E8" s="1"/>
      <c r="F8" s="1"/>
      <c r="G8" s="1"/>
      <c r="H8" s="2"/>
      <c r="I8" s="5">
        <f>IF(C14="Muy poca/Nada",1.2,IF(C14="Ligera (1-3 días/semana)",1.375,IF(C14="Moderada (3-5 días/semana)",1.5,IF(C14="Alta (6-7 días/semana)",1.7,IF(C14="Muy alta (élite o entrenamientos dobles)",1.9)))))</f>
        <v>1.7</v>
      </c>
      <c r="J8" s="2"/>
      <c r="K8" s="6" t="s">
        <v>1</v>
      </c>
      <c r="L8" s="6" t="s">
        <v>2</v>
      </c>
      <c r="M8" s="6" t="s">
        <v>3</v>
      </c>
      <c r="N8" s="6" t="s">
        <v>4</v>
      </c>
      <c r="O8" s="6" t="s">
        <v>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7" t="s">
        <v>6</v>
      </c>
      <c r="C9" s="8"/>
      <c r="D9" s="1"/>
      <c r="E9" s="9" t="s">
        <v>7</v>
      </c>
      <c r="F9" s="10">
        <f>IF(C13="Hombre",10*C12+6.25*C11-5*C10+5,IF(C13="Mujer",10*C12+6.25*C11-5*C10-161,""))*I8</f>
        <v>2293.3</v>
      </c>
      <c r="G9" s="1"/>
      <c r="H9" s="2"/>
      <c r="I9" s="2"/>
      <c r="J9" s="2"/>
      <c r="K9" s="11" t="s">
        <v>8</v>
      </c>
      <c r="L9" s="12" t="s">
        <v>9</v>
      </c>
      <c r="M9" s="12" t="s">
        <v>10</v>
      </c>
      <c r="N9" s="12" t="s">
        <v>11</v>
      </c>
      <c r="O9" s="1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3" t="s">
        <v>12</v>
      </c>
      <c r="C10" s="14">
        <v>38.0</v>
      </c>
      <c r="D10" s="1"/>
      <c r="E10" s="1"/>
      <c r="F10" s="15"/>
      <c r="G10" s="1"/>
      <c r="H10" s="2"/>
      <c r="I10" s="2"/>
      <c r="J10" s="2"/>
      <c r="K10" s="16" t="s">
        <v>13</v>
      </c>
      <c r="L10" s="17" t="s">
        <v>14</v>
      </c>
      <c r="M10" s="17" t="s">
        <v>15</v>
      </c>
      <c r="N10" s="17" t="s">
        <v>16</v>
      </c>
      <c r="O10" s="1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B11" s="13" t="s">
        <v>17</v>
      </c>
      <c r="C11" s="18">
        <v>160.0</v>
      </c>
      <c r="D11" s="1"/>
      <c r="E11" s="9" t="s">
        <v>18</v>
      </c>
      <c r="F11" s="1"/>
      <c r="G11" s="1"/>
      <c r="H11" s="2"/>
      <c r="I11" s="2"/>
      <c r="J11" s="2"/>
      <c r="K11" s="11" t="s">
        <v>19</v>
      </c>
      <c r="L11" s="11">
        <f>0.2*C12</f>
        <v>14</v>
      </c>
      <c r="M11" s="11">
        <f>1.5*C12</f>
        <v>105</v>
      </c>
      <c r="N11" s="11">
        <f>2*C12</f>
        <v>140</v>
      </c>
      <c r="O11" s="11">
        <f>'Calorías '!$L11*4+'Calorías '!$M11*4+'Calorías '!$N11*9</f>
        <v>1736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3" t="s">
        <v>20</v>
      </c>
      <c r="C12" s="14">
        <v>70.0</v>
      </c>
      <c r="D12" s="1"/>
      <c r="E12" s="19" t="s">
        <v>21</v>
      </c>
      <c r="F12" s="20">
        <f>F9*0.8</f>
        <v>1834.64</v>
      </c>
      <c r="G12" s="1"/>
      <c r="H12" s="2"/>
      <c r="I12" s="2"/>
      <c r="J12" s="2"/>
      <c r="K12" s="16" t="s">
        <v>22</v>
      </c>
      <c r="L12" s="16">
        <f>0.5*C12</f>
        <v>35</v>
      </c>
      <c r="M12" s="16">
        <f>2.5*C12</f>
        <v>175</v>
      </c>
      <c r="N12" s="16">
        <f>2.5*C12</f>
        <v>175</v>
      </c>
      <c r="O12" s="16">
        <f>'Calorías '!$L12*4+'Calorías '!$M12*4+'Calorías '!$N12*9</f>
        <v>2415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1"/>
      <c r="B13" s="13" t="s">
        <v>23</v>
      </c>
      <c r="C13" s="18" t="s">
        <v>24</v>
      </c>
      <c r="D13" s="1"/>
      <c r="E13" s="19"/>
      <c r="F13" s="5"/>
      <c r="G13" s="5"/>
      <c r="H13" s="2"/>
      <c r="I13" s="2"/>
      <c r="J13" s="2"/>
      <c r="K13" s="11" t="s">
        <v>25</v>
      </c>
      <c r="L13" s="12" t="s">
        <v>26</v>
      </c>
      <c r="M13" s="12" t="s">
        <v>27</v>
      </c>
      <c r="N13" s="12" t="s">
        <v>28</v>
      </c>
      <c r="O13" s="1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/>
      <c r="B14" s="13" t="s">
        <v>29</v>
      </c>
      <c r="C14" s="14" t="s">
        <v>30</v>
      </c>
      <c r="D14" s="1"/>
      <c r="E14" s="9" t="s">
        <v>31</v>
      </c>
      <c r="F14" s="1"/>
      <c r="G14" s="5"/>
      <c r="H14" s="2"/>
      <c r="I14" s="2"/>
      <c r="J14" s="2"/>
      <c r="K14" s="1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1"/>
      <c r="C15" s="1"/>
      <c r="D15" s="1"/>
      <c r="E15" s="19" t="s">
        <v>32</v>
      </c>
      <c r="F15" s="20">
        <f>F9*1.1</f>
        <v>2522.63</v>
      </c>
      <c r="G15" s="1"/>
      <c r="H15" s="2"/>
      <c r="I15" s="2"/>
      <c r="J15" s="2"/>
      <c r="K15" s="1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/>
      <c r="B16" s="1"/>
      <c r="C16" s="1"/>
      <c r="D16" s="1"/>
      <c r="E16" s="19"/>
      <c r="F16" s="1"/>
      <c r="G16" s="1"/>
      <c r="H16" s="2"/>
      <c r="I16" s="2"/>
      <c r="J16" s="2"/>
      <c r="K16" s="1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/>
      <c r="B17" s="1"/>
      <c r="C17" s="1"/>
      <c r="D17" s="1"/>
      <c r="E17" s="1"/>
      <c r="F17" s="5"/>
      <c r="G17" s="1"/>
      <c r="H17" s="2"/>
      <c r="I17" s="2"/>
      <c r="J17" s="2"/>
      <c r="K17" s="21" t="s">
        <v>33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"/>
      <c r="C18" s="1"/>
      <c r="D18" s="1"/>
      <c r="E18" s="1"/>
      <c r="F18" s="1"/>
      <c r="G18" s="1"/>
      <c r="H18" s="2"/>
      <c r="I18" s="2"/>
      <c r="J18" s="2"/>
      <c r="K18" s="1"/>
      <c r="L18" s="1"/>
      <c r="M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/>
      <c r="B19" s="1"/>
      <c r="C19" s="1"/>
      <c r="D19" s="1"/>
      <c r="E19" s="1"/>
      <c r="F19" s="1"/>
      <c r="G19" s="5"/>
      <c r="H19" s="2"/>
      <c r="I19" s="2"/>
      <c r="J19" s="2"/>
      <c r="K19" s="6" t="s">
        <v>1</v>
      </c>
      <c r="L19" s="6" t="s">
        <v>2</v>
      </c>
      <c r="M19" s="6" t="s">
        <v>3</v>
      </c>
      <c r="N19" s="6" t="s">
        <v>4</v>
      </c>
      <c r="O19" s="6" t="s">
        <v>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/>
      <c r="B20" s="1"/>
      <c r="C20" s="1"/>
      <c r="D20" s="1"/>
      <c r="E20" s="1"/>
      <c r="F20" s="1"/>
      <c r="G20" s="1"/>
      <c r="H20" s="2"/>
      <c r="I20" s="2"/>
      <c r="J20" s="2"/>
      <c r="K20" s="11" t="s">
        <v>8</v>
      </c>
      <c r="L20" s="12" t="s">
        <v>9</v>
      </c>
      <c r="M20" s="12" t="s">
        <v>10</v>
      </c>
      <c r="N20" s="12" t="s">
        <v>11</v>
      </c>
      <c r="O20" s="1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2"/>
      <c r="F21" s="2"/>
      <c r="G21" s="1"/>
      <c r="H21" s="2"/>
      <c r="I21" s="2"/>
      <c r="J21" s="2"/>
      <c r="K21" s="16" t="s">
        <v>13</v>
      </c>
      <c r="L21" s="17" t="s">
        <v>34</v>
      </c>
      <c r="M21" s="17" t="s">
        <v>35</v>
      </c>
      <c r="N21" s="17" t="s">
        <v>36</v>
      </c>
      <c r="O21" s="1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2"/>
      <c r="F22" s="2"/>
      <c r="G22" s="1"/>
      <c r="H22" s="2"/>
      <c r="I22" s="2"/>
      <c r="J22" s="2"/>
      <c r="K22" s="11" t="s">
        <v>19</v>
      </c>
      <c r="L22" s="11">
        <f>0.2*C12</f>
        <v>14</v>
      </c>
      <c r="M22" s="11">
        <f>2.5*C12</f>
        <v>175</v>
      </c>
      <c r="N22" s="11">
        <f>1.5*C12</f>
        <v>105</v>
      </c>
      <c r="O22" s="12">
        <f>'Calorías '!$L22*4+'Calorías '!$M22*4+'Calorías '!$N22*9</f>
        <v>1701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1"/>
      <c r="F23" s="2"/>
      <c r="G23" s="2"/>
      <c r="H23" s="2"/>
      <c r="I23" s="2"/>
      <c r="J23" s="2"/>
      <c r="K23" s="16" t="s">
        <v>22</v>
      </c>
      <c r="L23" s="16">
        <f>0.3*C12</f>
        <v>21</v>
      </c>
      <c r="M23" s="16">
        <f>3*C12</f>
        <v>210</v>
      </c>
      <c r="N23" s="16">
        <f>1.5*C12</f>
        <v>105</v>
      </c>
      <c r="O23" s="17">
        <f>'Calorías '!$L23*4+'Calorías '!$M23*4+'Calorías '!$N23*9</f>
        <v>1869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1" t="s">
        <v>25</v>
      </c>
      <c r="L24" s="12" t="s">
        <v>26</v>
      </c>
      <c r="M24" s="12" t="s">
        <v>27</v>
      </c>
      <c r="N24" s="12" t="s">
        <v>28</v>
      </c>
      <c r="O24" s="1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1"/>
      <c r="D25" s="1"/>
      <c r="E25" s="2"/>
      <c r="F25" s="2"/>
      <c r="G25" s="2"/>
      <c r="H25" s="2"/>
      <c r="I25" s="2"/>
      <c r="J25" s="2"/>
      <c r="K25" s="1"/>
      <c r="L25" s="1"/>
      <c r="M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"/>
      <c r="C26" s="2"/>
      <c r="D26" s="2"/>
      <c r="E26" s="2"/>
      <c r="F26" s="2"/>
      <c r="G26" s="2"/>
      <c r="H26" s="2"/>
      <c r="I26" s="2"/>
      <c r="J26" s="2"/>
      <c r="K26" s="1"/>
      <c r="L26" s="1"/>
      <c r="M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"/>
      <c r="C27" s="2"/>
      <c r="D27" s="2"/>
      <c r="E27" s="2"/>
      <c r="F27" s="2"/>
      <c r="G27" s="2"/>
      <c r="H27" s="2"/>
      <c r="I27" s="2"/>
      <c r="J27" s="2"/>
      <c r="K27" s="1"/>
      <c r="L27" s="1"/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"/>
      <c r="C28" s="2"/>
      <c r="D28" s="2"/>
      <c r="E28" s="2"/>
      <c r="F28" s="2"/>
      <c r="G28" s="2"/>
      <c r="H28" s="2"/>
      <c r="I28" s="2"/>
      <c r="J28" s="2"/>
      <c r="K28" s="4" t="s">
        <v>37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1"/>
      <c r="L29" s="1"/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6" t="s">
        <v>1</v>
      </c>
      <c r="L30" s="6" t="s">
        <v>2</v>
      </c>
      <c r="M30" s="6" t="s">
        <v>3</v>
      </c>
      <c r="N30" s="6" t="s">
        <v>4</v>
      </c>
      <c r="O30" s="6" t="s">
        <v>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11" t="s">
        <v>8</v>
      </c>
      <c r="L31" s="12" t="s">
        <v>38</v>
      </c>
      <c r="M31" s="12" t="s">
        <v>39</v>
      </c>
      <c r="N31" s="12" t="s">
        <v>40</v>
      </c>
      <c r="O31" s="1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16" t="s">
        <v>13</v>
      </c>
      <c r="L32" s="17" t="s">
        <v>41</v>
      </c>
      <c r="M32" s="17" t="s">
        <v>16</v>
      </c>
      <c r="N32" s="17" t="s">
        <v>42</v>
      </c>
      <c r="O32" s="1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11" t="s">
        <v>19</v>
      </c>
      <c r="L33" s="11">
        <f>1.5*C12</f>
        <v>105</v>
      </c>
      <c r="M33" s="11">
        <f>2*C12</f>
        <v>140</v>
      </c>
      <c r="N33" s="11">
        <f>1*C12</f>
        <v>70</v>
      </c>
      <c r="O33" s="12">
        <f>'Calorías '!$L33*4+'Calorías '!$M33*4+'Calorías '!$N33*9</f>
        <v>1610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16" t="s">
        <v>22</v>
      </c>
      <c r="L34" s="16">
        <f>2*C12</f>
        <v>140</v>
      </c>
      <c r="M34" s="16">
        <f>2.5*C12</f>
        <v>175</v>
      </c>
      <c r="N34" s="16">
        <f>1.5*C12</f>
        <v>105</v>
      </c>
      <c r="O34" s="17">
        <f>'Calorías '!$L34*4+'Calorías '!$M34*4+'Calorías '!$N34*9</f>
        <v>2205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11" t="s">
        <v>25</v>
      </c>
      <c r="L35" s="12" t="s">
        <v>43</v>
      </c>
      <c r="M35" s="12" t="s">
        <v>27</v>
      </c>
      <c r="N35" s="12" t="s">
        <v>28</v>
      </c>
      <c r="O35" s="1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1"/>
      <c r="L36" s="1"/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1"/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6:E6"/>
    <mergeCell ref="K6:O6"/>
    <mergeCell ref="K17:O17"/>
    <mergeCell ref="K28:O28"/>
    <mergeCell ref="C3:C4"/>
  </mergeCells>
  <dataValidations>
    <dataValidation type="list" allowBlank="1" sqref="C13">
      <formula1>"Hombre,Mujer"</formula1>
    </dataValidation>
    <dataValidation type="list" allowBlank="1" sqref="C14">
      <formula1>"Muy poca/Nada,Ligera (1-3 días/semana),Moderada (3-5 días/semana),Alta (6-7 días/semana),Muy alta (élite o entrenamientos dobles)"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38"/>
    <col customWidth="1" min="3" max="3" width="7.38"/>
    <col customWidth="1" min="4" max="4" width="11.0"/>
    <col customWidth="1" min="5" max="5" width="9.75"/>
    <col customWidth="1" min="6" max="6" width="7.25"/>
    <col customWidth="1" min="7" max="8" width="7.38"/>
    <col customWidth="1" min="9" max="9" width="15.38"/>
    <col customWidth="1" min="10" max="10" width="12.38"/>
    <col customWidth="1" min="11" max="11" width="11.25"/>
    <col customWidth="1" min="12" max="26" width="14.38"/>
  </cols>
  <sheetData>
    <row r="1" ht="15.75" customHeight="1">
      <c r="A1" s="22"/>
      <c r="B1" s="22"/>
      <c r="C1" s="22"/>
      <c r="D1" s="22"/>
      <c r="E1" s="22"/>
      <c r="F1" s="23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0.25" customHeight="1">
      <c r="A2" s="22"/>
      <c r="B2" s="22"/>
      <c r="C2" s="24" t="s">
        <v>20</v>
      </c>
      <c r="D2" s="25"/>
      <c r="E2" s="25"/>
      <c r="F2" s="25"/>
      <c r="G2" s="25"/>
      <c r="H2" s="25"/>
      <c r="I2" s="26"/>
      <c r="J2" s="22"/>
      <c r="K2" s="27" t="s">
        <v>44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0.25" customHeight="1">
      <c r="A3" s="22"/>
      <c r="B3" s="22"/>
      <c r="C3" s="28" t="s">
        <v>45</v>
      </c>
      <c r="D3" s="28" t="s">
        <v>46</v>
      </c>
      <c r="E3" s="29" t="s">
        <v>47</v>
      </c>
      <c r="G3" s="29" t="s">
        <v>48</v>
      </c>
      <c r="J3" s="28"/>
      <c r="K3" s="28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0.25" customHeight="1">
      <c r="A4" s="22"/>
      <c r="B4" s="28" t="s">
        <v>49</v>
      </c>
      <c r="C4" s="30"/>
      <c r="D4" s="31"/>
      <c r="E4" s="32"/>
      <c r="F4" s="26"/>
      <c r="G4" s="32"/>
      <c r="H4" s="25"/>
      <c r="I4" s="26"/>
      <c r="J4" s="33" t="str">
        <f t="shared" ref="J4:J8" si="1">IFERROR(AVERAGE(C4:I4),"")</f>
        <v/>
      </c>
      <c r="K4" s="33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0.25" customHeight="1">
      <c r="A5" s="22"/>
      <c r="B5" s="28" t="s">
        <v>50</v>
      </c>
      <c r="C5" s="34"/>
      <c r="D5" s="34"/>
      <c r="E5" s="34"/>
      <c r="F5" s="34"/>
      <c r="G5" s="34"/>
      <c r="H5" s="34"/>
      <c r="I5" s="34"/>
      <c r="J5" s="33" t="str">
        <f t="shared" si="1"/>
        <v/>
      </c>
      <c r="K5" s="33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0.25" customHeight="1">
      <c r="A6" s="22"/>
      <c r="B6" s="28" t="s">
        <v>51</v>
      </c>
      <c r="C6" s="30"/>
      <c r="D6" s="30"/>
      <c r="E6" s="30"/>
      <c r="F6" s="30"/>
      <c r="G6" s="30"/>
      <c r="H6" s="30"/>
      <c r="I6" s="30"/>
      <c r="J6" s="33" t="str">
        <f t="shared" si="1"/>
        <v/>
      </c>
      <c r="K6" s="33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0.25" customHeight="1">
      <c r="A7" s="22"/>
      <c r="B7" s="28" t="s">
        <v>52</v>
      </c>
      <c r="C7" s="34"/>
      <c r="D7" s="34"/>
      <c r="E7" s="34"/>
      <c r="F7" s="34"/>
      <c r="G7" s="34"/>
      <c r="H7" s="34"/>
      <c r="I7" s="34"/>
      <c r="J7" s="33" t="str">
        <f t="shared" si="1"/>
        <v/>
      </c>
      <c r="K7" s="33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0.25" customHeight="1">
      <c r="A8" s="22"/>
      <c r="B8" s="28" t="s">
        <v>53</v>
      </c>
      <c r="C8" s="30"/>
      <c r="D8" s="30"/>
      <c r="E8" s="30"/>
      <c r="F8" s="30"/>
      <c r="G8" s="30"/>
      <c r="H8" s="30"/>
      <c r="I8" s="30"/>
      <c r="J8" s="33" t="str">
        <f t="shared" si="1"/>
        <v/>
      </c>
      <c r="K8" s="33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0.25" customHeight="1">
      <c r="A9" s="22"/>
      <c r="B9" s="28" t="s">
        <v>54</v>
      </c>
      <c r="C9" s="34"/>
      <c r="D9" s="34"/>
      <c r="E9" s="34"/>
      <c r="F9" s="34"/>
      <c r="G9" s="34"/>
      <c r="H9" s="34"/>
      <c r="I9" s="34"/>
      <c r="J9" s="33"/>
      <c r="K9" s="33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0.25" customHeight="1">
      <c r="A10" s="22"/>
      <c r="B10" s="28" t="s">
        <v>55</v>
      </c>
      <c r="C10" s="30"/>
      <c r="D10" s="30"/>
      <c r="E10" s="30"/>
      <c r="F10" s="30"/>
      <c r="G10" s="30"/>
      <c r="H10" s="30"/>
      <c r="I10" s="30"/>
      <c r="J10" s="33"/>
      <c r="K10" s="33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0.25" customHeight="1">
      <c r="A11" s="22"/>
      <c r="B11" s="28" t="s">
        <v>56</v>
      </c>
      <c r="C11" s="34"/>
      <c r="D11" s="34"/>
      <c r="E11" s="34"/>
      <c r="F11" s="34"/>
      <c r="G11" s="34"/>
      <c r="H11" s="34"/>
      <c r="I11" s="34"/>
      <c r="J11" s="33"/>
      <c r="K11" s="33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0.25" customHeight="1">
      <c r="A12" s="22"/>
      <c r="B12" s="28" t="s">
        <v>57</v>
      </c>
      <c r="C12" s="30"/>
      <c r="D12" s="30"/>
      <c r="E12" s="30"/>
      <c r="F12" s="30"/>
      <c r="G12" s="30"/>
      <c r="H12" s="30"/>
      <c r="I12" s="30"/>
      <c r="J12" s="33"/>
      <c r="K12" s="33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0.25" customHeight="1">
      <c r="A13" s="22"/>
      <c r="B13" s="28" t="s">
        <v>58</v>
      </c>
      <c r="C13" s="34"/>
      <c r="D13" s="34"/>
      <c r="E13" s="34"/>
      <c r="F13" s="34"/>
      <c r="G13" s="34"/>
      <c r="H13" s="34"/>
      <c r="I13" s="34"/>
      <c r="J13" s="33" t="str">
        <f>IFERROR(AVERAGE(C13:I13),"")</f>
        <v/>
      </c>
      <c r="K13" s="33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0.25" customHeight="1">
      <c r="A14" s="22"/>
      <c r="B14" s="22"/>
      <c r="C14" s="22"/>
      <c r="D14" s="22"/>
      <c r="E14" s="22"/>
      <c r="F14" s="22"/>
      <c r="G14" s="22"/>
      <c r="H14" s="22"/>
      <c r="I14" s="22"/>
      <c r="J14" s="33"/>
      <c r="K14" s="33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0.25" customHeight="1">
      <c r="A15" s="22"/>
      <c r="B15" s="22"/>
      <c r="C15" s="24" t="s">
        <v>59</v>
      </c>
      <c r="D15" s="25"/>
      <c r="E15" s="25"/>
      <c r="F15" s="25"/>
      <c r="G15" s="25"/>
      <c r="H15" s="25"/>
      <c r="I15" s="26"/>
      <c r="J15" s="33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0.25" customHeight="1">
      <c r="A16" s="22"/>
      <c r="B16" s="22"/>
      <c r="C16" s="28" t="s">
        <v>60</v>
      </c>
      <c r="D16" s="28" t="s">
        <v>61</v>
      </c>
      <c r="E16" s="29" t="s">
        <v>62</v>
      </c>
      <c r="F16" s="29" t="s">
        <v>63</v>
      </c>
      <c r="H16" s="29" t="s">
        <v>64</v>
      </c>
      <c r="J16" s="33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0.25" customHeight="1">
      <c r="A17" s="22"/>
      <c r="B17" s="22"/>
      <c r="F17" s="29" t="s">
        <v>65</v>
      </c>
      <c r="G17" s="29" t="s">
        <v>66</v>
      </c>
      <c r="H17" s="29" t="s">
        <v>67</v>
      </c>
      <c r="I17" s="29" t="s">
        <v>66</v>
      </c>
      <c r="J17" s="33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0.25" customHeight="1">
      <c r="A18" s="22"/>
      <c r="B18" s="28" t="s">
        <v>49</v>
      </c>
      <c r="C18" s="30"/>
      <c r="D18" s="30"/>
      <c r="E18" s="30"/>
      <c r="F18" s="30"/>
      <c r="G18" s="30"/>
      <c r="H18" s="30"/>
      <c r="I18" s="30"/>
      <c r="J18" s="33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0.25" customHeight="1">
      <c r="A19" s="22"/>
      <c r="B19" s="28" t="s">
        <v>50</v>
      </c>
      <c r="C19" s="34"/>
      <c r="D19" s="34"/>
      <c r="E19" s="34"/>
      <c r="F19" s="34"/>
      <c r="G19" s="34"/>
      <c r="H19" s="34"/>
      <c r="I19" s="34"/>
      <c r="J19" s="33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0.25" customHeight="1">
      <c r="A20" s="22"/>
      <c r="B20" s="28" t="s">
        <v>51</v>
      </c>
      <c r="C20" s="30"/>
      <c r="D20" s="30"/>
      <c r="E20" s="30"/>
      <c r="F20" s="30"/>
      <c r="G20" s="30"/>
      <c r="H20" s="30"/>
      <c r="I20" s="30"/>
      <c r="J20" s="33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0.25" customHeight="1">
      <c r="A21" s="22"/>
      <c r="B21" s="28" t="s">
        <v>52</v>
      </c>
      <c r="C21" s="34"/>
      <c r="D21" s="34"/>
      <c r="E21" s="34"/>
      <c r="F21" s="34"/>
      <c r="G21" s="34"/>
      <c r="H21" s="34"/>
      <c r="I21" s="34"/>
      <c r="J21" s="33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0.25" customHeight="1">
      <c r="A22" s="22"/>
      <c r="B22" s="28" t="s">
        <v>53</v>
      </c>
      <c r="C22" s="30"/>
      <c r="D22" s="30"/>
      <c r="E22" s="30"/>
      <c r="F22" s="30"/>
      <c r="G22" s="30"/>
      <c r="H22" s="30"/>
      <c r="I22" s="30"/>
      <c r="J22" s="33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0.25" customHeight="1">
      <c r="A23" s="22"/>
      <c r="B23" s="28" t="s">
        <v>54</v>
      </c>
      <c r="C23" s="34"/>
      <c r="D23" s="34"/>
      <c r="E23" s="34"/>
      <c r="F23" s="34"/>
      <c r="G23" s="34"/>
      <c r="H23" s="34"/>
      <c r="I23" s="34"/>
      <c r="J23" s="33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0.25" customHeight="1">
      <c r="A24" s="22"/>
      <c r="B24" s="28" t="s">
        <v>55</v>
      </c>
      <c r="C24" s="30"/>
      <c r="D24" s="30"/>
      <c r="E24" s="30"/>
      <c r="F24" s="30"/>
      <c r="G24" s="30"/>
      <c r="H24" s="30"/>
      <c r="I24" s="30"/>
      <c r="J24" s="3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0.25" customHeight="1">
      <c r="A25" s="22"/>
      <c r="B25" s="28" t="s">
        <v>56</v>
      </c>
      <c r="C25" s="34"/>
      <c r="D25" s="34"/>
      <c r="E25" s="34"/>
      <c r="F25" s="34"/>
      <c r="G25" s="34"/>
      <c r="H25" s="34"/>
      <c r="I25" s="34"/>
      <c r="J25" s="3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0.25" customHeight="1">
      <c r="A26" s="22"/>
      <c r="B26" s="28" t="s">
        <v>57</v>
      </c>
      <c r="C26" s="30"/>
      <c r="D26" s="30"/>
      <c r="E26" s="30"/>
      <c r="F26" s="30"/>
      <c r="G26" s="30"/>
      <c r="H26" s="30"/>
      <c r="I26" s="30"/>
      <c r="J26" s="3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0.25" customHeight="1">
      <c r="A27" s="22"/>
      <c r="B27" s="28" t="s">
        <v>58</v>
      </c>
      <c r="C27" s="34"/>
      <c r="D27" s="34"/>
      <c r="E27" s="34"/>
      <c r="F27" s="34"/>
      <c r="G27" s="34"/>
      <c r="H27" s="34"/>
      <c r="I27" s="34"/>
      <c r="J27" s="3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0.2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1">
    <mergeCell ref="D16:D17"/>
    <mergeCell ref="E16:E17"/>
    <mergeCell ref="F16:G16"/>
    <mergeCell ref="H16:I16"/>
    <mergeCell ref="C2:I2"/>
    <mergeCell ref="E3:F3"/>
    <mergeCell ref="G3:I3"/>
    <mergeCell ref="E4:F4"/>
    <mergeCell ref="G4:I4"/>
    <mergeCell ref="C15:I15"/>
    <mergeCell ref="C16:C17"/>
  </mergeCells>
  <conditionalFormatting sqref="K4:K14">
    <cfRule type="cellIs" dxfId="4" priority="1" operator="lessThan">
      <formula>0</formula>
    </cfRule>
  </conditionalFormatting>
  <conditionalFormatting sqref="K4:K14">
    <cfRule type="cellIs" dxfId="5" priority="2" operator="greaterThan">
      <formula>0</formula>
    </cfRule>
  </conditionalFormatting>
  <dataValidations>
    <dataValidation type="list" allowBlank="1" showErrorMessage="1" sqref="C4:C13">
      <formula1>"Lunes,Martes,Miércoles,Jueves,Viernes,Sábado,Domingo"</formula1>
    </dataValidation>
  </dataValidations>
  <printOptions/>
  <pageMargins bottom="0.75" footer="0.0" header="0.0" left="0.7" right="0.7" top="0.75"/>
  <pageSetup orientation="landscape"/>
  <drawing r:id="rId1"/>
</worksheet>
</file>